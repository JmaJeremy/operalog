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/Code/operalog/data/"/>
    </mc:Choice>
  </mc:AlternateContent>
  <xr:revisionPtr revIDLastSave="0" documentId="8_{BD834E63-4E57-7247-9D59-C8ECFA8D4548}" xr6:coauthVersionLast="47" xr6:coauthVersionMax="47" xr10:uidLastSave="{00000000-0000-0000-0000-000000000000}"/>
  <bookViews>
    <workbookView xWindow="0" yWindow="660" windowWidth="29400" windowHeight="18460" xr2:uid="{6A8E1CC2-05B2-E74F-9D1E-9E4F319EA4A8}"/>
  </bookViews>
  <sheets>
    <sheet name="Performances" sheetId="1" r:id="rId1"/>
    <sheet name="Operas" sheetId="3" r:id="rId2"/>
    <sheet name="Companies" sheetId="4" r:id="rId3"/>
  </sheets>
  <definedNames>
    <definedName name="operas" localSheetId="0">Performances!$A$1:$I$56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2" i="1"/>
  <c r="I2" i="4"/>
  <c r="I3" i="4"/>
  <c r="I4" i="4"/>
  <c r="I5" i="4"/>
  <c r="I6" i="4"/>
  <c r="I1" i="4"/>
  <c r="H1" i="4" a="1"/>
  <c r="H1" i="4" s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E2" i="1"/>
  <c r="F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F8F49-72DF-8549-9E84-85CC38F118B2}" name="operas" type="6" refreshedVersion="8" background="1" saveData="1">
    <textPr codePage="65001" sourceFile="/Users/jeremy/Code/operalog/data/operas.csv" tab="0" comma="1">
      <textFields count="9">
        <textField type="YMD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<sst xmlns="http://schemas.openxmlformats.org/spreadsheetml/2006/main" count="409" uniqueCount="132">
  <si>
    <t>Date</t>
  </si>
  <si>
    <t>Time</t>
  </si>
  <si>
    <t>OperaName</t>
  </si>
  <si>
    <t>AlternateTitle</t>
  </si>
  <si>
    <t>Composer</t>
  </si>
  <si>
    <t>Language</t>
  </si>
  <si>
    <t>OperaCompany</t>
  </si>
  <si>
    <t>Venue</t>
  </si>
  <si>
    <t>Seats</t>
  </si>
  <si>
    <t>Carmen</t>
  </si>
  <si>
    <t>Georges Bizet</t>
  </si>
  <si>
    <t>French</t>
  </si>
  <si>
    <t>Opéra de Montréal</t>
  </si>
  <si>
    <t>Place des Arts</t>
  </si>
  <si>
    <t>Hansel &amp; Gretel</t>
  </si>
  <si>
    <t>Engelbert Humperdinck</t>
  </si>
  <si>
    <t>German</t>
  </si>
  <si>
    <t>19:30</t>
  </si>
  <si>
    <t>La Traviata</t>
  </si>
  <si>
    <t>Giuseppe Verdi</t>
  </si>
  <si>
    <t>Italian</t>
  </si>
  <si>
    <t>Staatstheater Nürnberg</t>
  </si>
  <si>
    <t>Opernhaus Nürnberg</t>
  </si>
  <si>
    <t>20:00</t>
  </si>
  <si>
    <t>Salome</t>
  </si>
  <si>
    <t>Richard Strauss</t>
  </si>
  <si>
    <t>Wiener Staatsoper</t>
  </si>
  <si>
    <t>14:00</t>
  </si>
  <si>
    <t>Ariodante</t>
  </si>
  <si>
    <t>George Frideric Handel</t>
  </si>
  <si>
    <t>Canadian Opera Company</t>
  </si>
  <si>
    <t>H554</t>
  </si>
  <si>
    <t>Norma</t>
  </si>
  <si>
    <t>Vincenzo Bellini</t>
  </si>
  <si>
    <t>Four Seasons Centre for the Performing Arts</t>
  </si>
  <si>
    <t>H512</t>
  </si>
  <si>
    <t>18:00</t>
  </si>
  <si>
    <t>Götterdämmerung</t>
  </si>
  <si>
    <t>Richard Wagner</t>
  </si>
  <si>
    <t>G526</t>
  </si>
  <si>
    <t>The Magic Flute</t>
  </si>
  <si>
    <t>Die Zauberflöte</t>
  </si>
  <si>
    <t>Wolfgang Amadeus Mozart</t>
  </si>
  <si>
    <t>C556</t>
  </si>
  <si>
    <t>20:30</t>
  </si>
  <si>
    <t>Cyrano de Bergerac</t>
  </si>
  <si>
    <t>Franco Alfano</t>
  </si>
  <si>
    <t>Metropolitan Opera</t>
  </si>
  <si>
    <t>Metropolitan Opera House</t>
  </si>
  <si>
    <t>DRESS CIRCLE B26</t>
  </si>
  <si>
    <t>Arabella</t>
  </si>
  <si>
    <t>G533-G534-G535</t>
  </si>
  <si>
    <t>The Elixir of Love</t>
  </si>
  <si>
    <t>L'elisir d'amore</t>
  </si>
  <si>
    <t>Gaetano Donizetti</t>
  </si>
  <si>
    <t>H522</t>
  </si>
  <si>
    <t>Rigoletto</t>
  </si>
  <si>
    <t>G550-G551-G552-H552-H553-H554-H555</t>
  </si>
  <si>
    <t>The Abduction from the Seraglio</t>
  </si>
  <si>
    <t>Die Entführung aus dem Serail</t>
  </si>
  <si>
    <t>G533-G534</t>
  </si>
  <si>
    <t>Anna Bolena</t>
  </si>
  <si>
    <t>H515-H516-H517</t>
  </si>
  <si>
    <t>Così fan tutte</t>
  </si>
  <si>
    <t>H547-H548</t>
  </si>
  <si>
    <t>La Bohème</t>
  </si>
  <si>
    <t>Giacomo Puccini</t>
  </si>
  <si>
    <t>Otello</t>
  </si>
  <si>
    <t>Turandot</t>
  </si>
  <si>
    <t>Rusalka</t>
  </si>
  <si>
    <t>Antonín Dvořák</t>
  </si>
  <si>
    <t>Czech</t>
  </si>
  <si>
    <t>The Barber of Seville</t>
  </si>
  <si>
    <t>Il barbiere di Siviglia</t>
  </si>
  <si>
    <t>Gioachino Rossini</t>
  </si>
  <si>
    <t>A516</t>
  </si>
  <si>
    <t>The Flying Dutchman</t>
  </si>
  <si>
    <t>Der fliegende Holländer</t>
  </si>
  <si>
    <t>A513</t>
  </si>
  <si>
    <t>A562</t>
  </si>
  <si>
    <t>The Marriage of Figaro</t>
  </si>
  <si>
    <t>Le nozze di Figaro</t>
  </si>
  <si>
    <t>A548</t>
  </si>
  <si>
    <t>A512</t>
  </si>
  <si>
    <t>Macbeth</t>
  </si>
  <si>
    <t>Tosca</t>
  </si>
  <si>
    <t>16:30</t>
  </si>
  <si>
    <t>Fidelio</t>
  </si>
  <si>
    <t>Ludwig van Beethoven</t>
  </si>
  <si>
    <t>B507</t>
  </si>
  <si>
    <t>The Cunning Little Vixen</t>
  </si>
  <si>
    <t>Příhody lišky Bystroušky</t>
  </si>
  <si>
    <t>Leoš Janáček</t>
  </si>
  <si>
    <t>B505</t>
  </si>
  <si>
    <t>Don Giovanni</t>
  </si>
  <si>
    <t>Medea</t>
  </si>
  <si>
    <t>Luigi Cherubini</t>
  </si>
  <si>
    <t>B506</t>
  </si>
  <si>
    <t>Don Pasquale</t>
  </si>
  <si>
    <t>Nabucco</t>
  </si>
  <si>
    <t>Faust</t>
  </si>
  <si>
    <t>Charles Gounod</t>
  </si>
  <si>
    <t>Madama Butterfly</t>
  </si>
  <si>
    <t>La Reine-garçon</t>
  </si>
  <si>
    <t>Julien Bilodeau</t>
  </si>
  <si>
    <t>Wozzeck</t>
  </si>
  <si>
    <t>Alban Berg</t>
  </si>
  <si>
    <t>Eugene Onegin</t>
  </si>
  <si>
    <t>Pyotr Ilyich Tchaikovsky</t>
  </si>
  <si>
    <t>Russian</t>
  </si>
  <si>
    <t>A517</t>
  </si>
  <si>
    <t>Cavalleria rusticana</t>
  </si>
  <si>
    <t>Pietro Mascagni</t>
  </si>
  <si>
    <t>Romeo and Juliet</t>
  </si>
  <si>
    <t>Roméo et Juliette</t>
  </si>
  <si>
    <t>A515</t>
  </si>
  <si>
    <t>Orfeo ed Euridice</t>
  </si>
  <si>
    <t>Christoph Willibald Gluck</t>
  </si>
  <si>
    <t>Bluebeard’s Castle</t>
  </si>
  <si>
    <t>Béla Bartók</t>
  </si>
  <si>
    <t>Hungarian</t>
  </si>
  <si>
    <t>Erwartung</t>
  </si>
  <si>
    <t>Arnold Schoenberg</t>
  </si>
  <si>
    <t>Werther</t>
  </si>
  <si>
    <t>Jules Massenet</t>
  </si>
  <si>
    <t>The Turn of the Screw</t>
  </si>
  <si>
    <t>Benjamin Britten</t>
  </si>
  <si>
    <t>English</t>
  </si>
  <si>
    <t>Ariadne auf Naxos</t>
  </si>
  <si>
    <t>Empire of Wild</t>
  </si>
  <si>
    <t>Ian Cusson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</si>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</sst>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ras" connectionId="1" xr16:uid="{103DCF4A-811C-014F-9E24-1F6C2FF14C0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2274-DEEC-A24B-B0A2-F02223DC02A8}">
  <dimension ref="A1:I56"/>
  <sheetViews>
    <sheetView tabSelected="1" topLeftCell="A30" workbookViewId="0">
      <selection activeCell="B22" sqref="B22"/>
    </sheetView>
  </sheetViews>
  <sheetFormatPr baseColWidth="10" defaultRowHeight="16" x14ac:dyDescent="0.2"/>
  <cols>
    <col min="1" max="1" width="10.5" bestFit="1" customWidth="1"/>
    <col min="2" max="2" width="5.6640625" bestFit="1" customWidth="1"/>
    <col min="3" max="3" width="26.83203125" bestFit="1" customWidth="1"/>
    <col min="4" max="4" width="25.5" bestFit="1" customWidth="1"/>
    <col min="5" max="5" width="22.5" bestFit="1" customWidth="1"/>
    <col min="6" max="6" width="9.5" bestFit="1" customWidth="1"/>
    <col min="7" max="7" width="22.6640625" bestFit="1" customWidth="1"/>
    <col min="8" max="8" width="36.5" style="3" bestFit="1" customWidth="1"/>
    <col min="9" max="9" width="36.1640625" bestFit="1" customWidth="1"/>
  </cols>
  <sheetData>
    <row r="1" spans="1:9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2">
      <c r="A2" s="2">
        <v>38493</v>
      </c>
      <c r="C2" s="1" t="s">
        <v>9</v>
      </c>
      <c r="D2" t="str">
        <f>_xlfn.XLOOKUP($C2,Operas!$A:$A,Operas!B:B,"",0,1)&amp;""</f>
        <v/>
      </c>
      <c r="E2" t="str">
        <f>_xlfn.XLOOKUP($C2,Operas!$A:$A,Operas!C:C,"",0,1)&amp;""</f>
        <v>Georges Bizet</v>
      </c>
      <c r="F2" t="str">
        <f>_xlfn.XLOOKUP($C2,Operas!$A:$A,Operas!D:D,"",0,1)&amp;""</f>
        <v>French</v>
      </c>
      <c r="G2" s="1" t="s">
        <v>12</v>
      </c>
      <c r="H2" s="3" t="str">
        <f>_xlfn.XLOOKUP(G2,Companies!A:A,Companies!B:B,"",0,-1)&amp;""</f>
        <v>Place des Arts</v>
      </c>
    </row>
    <row r="3" spans="1:9" x14ac:dyDescent="0.2">
      <c r="A3" s="2">
        <v>41720</v>
      </c>
      <c r="C3" s="1" t="s">
        <v>14</v>
      </c>
      <c r="D3" t="str">
        <f>_xlfn.XLOOKUP($C3,Operas!$A:$A,Operas!B:B,"",0,1)&amp;""</f>
        <v/>
      </c>
      <c r="E3" t="str">
        <f>_xlfn.XLOOKUP($C3,Operas!$A:$A,Operas!C:C,"",0,1)&amp;""</f>
        <v>Engelbert Humperdinck</v>
      </c>
      <c r="F3" t="str">
        <f>_xlfn.XLOOKUP($C3,Operas!$A:$A,Operas!D:D,"",0,1)&amp;""</f>
        <v>German</v>
      </c>
      <c r="G3" s="1" t="s">
        <v>12</v>
      </c>
      <c r="H3" s="3" t="str">
        <f>_xlfn.XLOOKUP(G3,Companies!A:A,Companies!B:B,"",0,-1)&amp;""</f>
        <v>Place des Arts</v>
      </c>
    </row>
    <row r="4" spans="1:9" x14ac:dyDescent="0.2">
      <c r="A4" s="2">
        <v>42139</v>
      </c>
      <c r="B4" s="1" t="s">
        <v>17</v>
      </c>
      <c r="C4" s="1" t="s">
        <v>18</v>
      </c>
      <c r="D4" t="str">
        <f>_xlfn.XLOOKUP($C4,Operas!$A:$A,Operas!B:B,"",0,1)&amp;""</f>
        <v/>
      </c>
      <c r="E4" t="str">
        <f>_xlfn.XLOOKUP($C4,Operas!$A:$A,Operas!C:C,"",0,1)&amp;""</f>
        <v>Giuseppe Verdi</v>
      </c>
      <c r="F4" t="str">
        <f>_xlfn.XLOOKUP($C4,Operas!$A:$A,Operas!D:D,"",0,1)&amp;""</f>
        <v>Italian</v>
      </c>
      <c r="G4" s="1" t="s">
        <v>21</v>
      </c>
      <c r="H4" s="3" t="str">
        <f>_xlfn.XLOOKUP(G4,Companies!A:A,Companies!B:B,"",0,-1)&amp;""</f>
        <v>Opernhaus Nürnberg</v>
      </c>
    </row>
    <row r="5" spans="1:9" x14ac:dyDescent="0.2">
      <c r="A5" s="2">
        <v>42160</v>
      </c>
      <c r="B5" s="1" t="s">
        <v>23</v>
      </c>
      <c r="C5" s="1" t="s">
        <v>24</v>
      </c>
      <c r="D5" t="str">
        <f>_xlfn.XLOOKUP($C5,Operas!$A:$A,Operas!B:B,"",0,1)&amp;""</f>
        <v/>
      </c>
      <c r="E5" t="str">
        <f>_xlfn.XLOOKUP($C5,Operas!$A:$A,Operas!C:C,"",0,1)&amp;""</f>
        <v>Richard Strauss</v>
      </c>
      <c r="F5" t="str">
        <f>_xlfn.XLOOKUP($C5,Operas!$A:$A,Operas!D:D,"",0,1)&amp;""</f>
        <v>German</v>
      </c>
      <c r="G5" s="1" t="s">
        <v>26</v>
      </c>
      <c r="H5" s="3" t="str">
        <f>_xlfn.XLOOKUP(G5,Companies!A:A,Companies!B:B,"",0,-1)&amp;""</f>
        <v>Wiener Staatsoper</v>
      </c>
    </row>
    <row r="6" spans="1:9" x14ac:dyDescent="0.2">
      <c r="A6" s="2">
        <v>42659</v>
      </c>
      <c r="B6" s="1" t="s">
        <v>27</v>
      </c>
      <c r="C6" s="1" t="s">
        <v>28</v>
      </c>
      <c r="D6" t="str">
        <f>_xlfn.XLOOKUP($C6,Operas!$A:$A,Operas!B:B,"",0,1)&amp;""</f>
        <v/>
      </c>
      <c r="E6" t="str">
        <f>_xlfn.XLOOKUP($C6,Operas!$A:$A,Operas!C:C,"",0,1)&amp;""</f>
        <v>George Frideric Handel</v>
      </c>
      <c r="F6" t="str">
        <f>_xlfn.XLOOKUP($C6,Operas!$A:$A,Operas!D:D,"",0,1)&amp;""</f>
        <v>Italian</v>
      </c>
      <c r="G6" s="1" t="s">
        <v>30</v>
      </c>
      <c r="H6" s="3" t="str">
        <f>_xlfn.XLOOKUP(G6,Companies!A:A,Companies!B:B,"",0,-1)&amp;""</f>
        <v>Four Seasons Centre for the Performing Arts</v>
      </c>
      <c r="I6" s="1" t="s">
        <v>31</v>
      </c>
    </row>
    <row r="7" spans="1:9" x14ac:dyDescent="0.2">
      <c r="A7" s="2">
        <v>42669</v>
      </c>
      <c r="B7" s="1" t="s">
        <v>17</v>
      </c>
      <c r="C7" s="1" t="s">
        <v>32</v>
      </c>
      <c r="D7" t="str">
        <f>_xlfn.XLOOKUP($C7,Operas!$A:$A,Operas!B:B,"",0,1)&amp;""</f>
        <v/>
      </c>
      <c r="E7" t="str">
        <f>_xlfn.XLOOKUP($C7,Operas!$A:$A,Operas!C:C,"",0,1)&amp;""</f>
        <v>Vincenzo Bellini</v>
      </c>
      <c r="F7" t="str">
        <f>_xlfn.XLOOKUP($C7,Operas!$A:$A,Operas!D:D,"",0,1)&amp;""</f>
        <v>Italian</v>
      </c>
      <c r="G7" s="1" t="s">
        <v>30</v>
      </c>
      <c r="H7" s="3" t="str">
        <f>_xlfn.XLOOKUP(G7,Companies!A:A,Companies!B:B,"",0,-1)&amp;""</f>
        <v>Four Seasons Centre for the Performing Arts</v>
      </c>
      <c r="I7" s="1" t="s">
        <v>35</v>
      </c>
    </row>
    <row r="8" spans="1:9" x14ac:dyDescent="0.2">
      <c r="A8" s="2">
        <v>42768</v>
      </c>
      <c r="B8" s="1" t="s">
        <v>36</v>
      </c>
      <c r="C8" s="1" t="s">
        <v>37</v>
      </c>
      <c r="D8" t="str">
        <f>_xlfn.XLOOKUP($C8,Operas!$A:$A,Operas!B:B,"",0,1)&amp;""</f>
        <v/>
      </c>
      <c r="E8" t="str">
        <f>_xlfn.XLOOKUP($C8,Operas!$A:$A,Operas!C:C,"",0,1)&amp;""</f>
        <v>Richard Wagner</v>
      </c>
      <c r="F8" t="str">
        <f>_xlfn.XLOOKUP($C8,Operas!$A:$A,Operas!D:D,"",0,1)&amp;""</f>
        <v>German</v>
      </c>
      <c r="G8" s="1" t="s">
        <v>30</v>
      </c>
      <c r="H8" s="3" t="str">
        <f>_xlfn.XLOOKUP(G8,Companies!A:A,Companies!B:B,"",0,-1)&amp;""</f>
        <v>Four Seasons Centre for the Performing Arts</v>
      </c>
      <c r="I8" s="1" t="s">
        <v>39</v>
      </c>
    </row>
    <row r="9" spans="1:9" x14ac:dyDescent="0.2">
      <c r="A9" s="2">
        <v>42776</v>
      </c>
      <c r="B9" s="1" t="s">
        <v>17</v>
      </c>
      <c r="C9" s="1" t="s">
        <v>40</v>
      </c>
      <c r="D9" t="str">
        <f>_xlfn.XLOOKUP($C9,Operas!$A:$A,Operas!B:B,"",0,1)&amp;""</f>
        <v>Die Zauberflöte</v>
      </c>
      <c r="E9" t="str">
        <f>_xlfn.XLOOKUP($C9,Operas!$A:$A,Operas!C:C,"",0,1)&amp;""</f>
        <v>Wolfgang Amadeus Mozart</v>
      </c>
      <c r="F9" t="str">
        <f>_xlfn.XLOOKUP($C9,Operas!$A:$A,Operas!D:D,"",0,1)&amp;""</f>
        <v>German</v>
      </c>
      <c r="G9" s="1" t="s">
        <v>30</v>
      </c>
      <c r="H9" s="3" t="str">
        <f>_xlfn.XLOOKUP(G9,Companies!A:A,Companies!B:B,"",0,-1)&amp;""</f>
        <v>Four Seasons Centre for the Performing Arts</v>
      </c>
      <c r="I9" s="1" t="s">
        <v>43</v>
      </c>
    </row>
    <row r="10" spans="1:9" x14ac:dyDescent="0.2">
      <c r="A10" s="2">
        <v>42868</v>
      </c>
      <c r="B10" s="1" t="s">
        <v>44</v>
      </c>
      <c r="C10" s="1" t="s">
        <v>45</v>
      </c>
      <c r="D10" t="str">
        <f>_xlfn.XLOOKUP($C10,Operas!$A:$A,Operas!B:B,"",0,1)&amp;""</f>
        <v/>
      </c>
      <c r="E10" t="str">
        <f>_xlfn.XLOOKUP($C10,Operas!$A:$A,Operas!C:C,"",0,1)&amp;""</f>
        <v>Franco Alfano</v>
      </c>
      <c r="F10" t="str">
        <f>_xlfn.XLOOKUP($C10,Operas!$A:$A,Operas!D:D,"",0,1)&amp;""</f>
        <v>French</v>
      </c>
      <c r="G10" s="1" t="s">
        <v>47</v>
      </c>
      <c r="H10" s="3" t="str">
        <f>_xlfn.XLOOKUP(G10,Companies!A:A,Companies!B:B,"",0,-1)&amp;""</f>
        <v>Metropolitan Opera House</v>
      </c>
      <c r="I10" s="1" t="s">
        <v>49</v>
      </c>
    </row>
    <row r="11" spans="1:9" x14ac:dyDescent="0.2">
      <c r="A11" s="2">
        <v>43013</v>
      </c>
      <c r="B11" s="1" t="s">
        <v>17</v>
      </c>
      <c r="C11" s="1" t="s">
        <v>50</v>
      </c>
      <c r="D11" t="str">
        <f>_xlfn.XLOOKUP($C11,Operas!$A:$A,Operas!B:B,"",0,1)&amp;""</f>
        <v/>
      </c>
      <c r="E11" t="str">
        <f>_xlfn.XLOOKUP($C11,Operas!$A:$A,Operas!C:C,"",0,1)&amp;""</f>
        <v>Richard Strauss</v>
      </c>
      <c r="F11" t="str">
        <f>_xlfn.XLOOKUP($C11,Operas!$A:$A,Operas!D:D,"",0,1)&amp;""</f>
        <v>German</v>
      </c>
      <c r="G11" s="1" t="s">
        <v>30</v>
      </c>
      <c r="H11" s="3" t="str">
        <f>_xlfn.XLOOKUP(G11,Companies!A:A,Companies!B:B,"",0,-1)&amp;""</f>
        <v>Four Seasons Centre for the Performing Arts</v>
      </c>
      <c r="I11" s="1" t="s">
        <v>51</v>
      </c>
    </row>
    <row r="12" spans="1:9" x14ac:dyDescent="0.2">
      <c r="A12" s="2">
        <v>43041</v>
      </c>
      <c r="B12" s="1" t="s">
        <v>17</v>
      </c>
      <c r="C12" s="1" t="s">
        <v>52</v>
      </c>
      <c r="D12" t="str">
        <f>_xlfn.XLOOKUP($C12,Operas!$A:$A,Operas!B:B,"",0,1)&amp;""</f>
        <v>L'elisir d'amore</v>
      </c>
      <c r="E12" t="str">
        <f>_xlfn.XLOOKUP($C12,Operas!$A:$A,Operas!C:C,"",0,1)&amp;""</f>
        <v>Gaetano Donizetti</v>
      </c>
      <c r="F12" t="str">
        <f>_xlfn.XLOOKUP($C12,Operas!$A:$A,Operas!D:D,"",0,1)&amp;""</f>
        <v>Italian</v>
      </c>
      <c r="G12" s="1" t="s">
        <v>30</v>
      </c>
      <c r="H12" s="3" t="str">
        <f>_xlfn.XLOOKUP(G12,Companies!A:A,Companies!B:B,"",0,-1)&amp;""</f>
        <v>Four Seasons Centre for the Performing Arts</v>
      </c>
      <c r="I12" s="1" t="s">
        <v>55</v>
      </c>
    </row>
    <row r="13" spans="1:9" x14ac:dyDescent="0.2">
      <c r="A13" s="2">
        <v>43140</v>
      </c>
      <c r="B13" s="1" t="s">
        <v>17</v>
      </c>
      <c r="C13" s="1" t="s">
        <v>56</v>
      </c>
      <c r="D13" t="str">
        <f>_xlfn.XLOOKUP($C13,Operas!$A:$A,Operas!B:B,"",0,1)&amp;""</f>
        <v/>
      </c>
      <c r="E13" t="str">
        <f>_xlfn.XLOOKUP($C13,Operas!$A:$A,Operas!C:C,"",0,1)&amp;""</f>
        <v>Giuseppe Verdi</v>
      </c>
      <c r="F13" t="str">
        <f>_xlfn.XLOOKUP($C13,Operas!$A:$A,Operas!D:D,"",0,1)&amp;""</f>
        <v>Italian</v>
      </c>
      <c r="G13" s="1" t="s">
        <v>30</v>
      </c>
      <c r="H13" s="3" t="str">
        <f>_xlfn.XLOOKUP(G13,Companies!A:A,Companies!B:B,"",0,-1)&amp;""</f>
        <v>Four Seasons Centre for the Performing Arts</v>
      </c>
      <c r="I13" s="1" t="s">
        <v>57</v>
      </c>
    </row>
    <row r="14" spans="1:9" x14ac:dyDescent="0.2">
      <c r="A14" s="2">
        <v>43144</v>
      </c>
      <c r="B14" s="1" t="s">
        <v>17</v>
      </c>
      <c r="C14" s="1" t="s">
        <v>58</v>
      </c>
      <c r="D14" t="str">
        <f>_xlfn.XLOOKUP($C14,Operas!$A:$A,Operas!B:B,"",0,1)&amp;""</f>
        <v>Die Entführung aus dem Serail</v>
      </c>
      <c r="E14" t="str">
        <f>_xlfn.XLOOKUP($C14,Operas!$A:$A,Operas!C:C,"",0,1)&amp;""</f>
        <v>Wolfgang Amadeus Mozart</v>
      </c>
      <c r="F14" t="str">
        <f>_xlfn.XLOOKUP($C14,Operas!$A:$A,Operas!D:D,"",0,1)&amp;""</f>
        <v>German</v>
      </c>
      <c r="G14" s="1" t="s">
        <v>30</v>
      </c>
      <c r="H14" s="3" t="str">
        <f>_xlfn.XLOOKUP(G14,Companies!A:A,Companies!B:B,"",0,-1)&amp;""</f>
        <v>Four Seasons Centre for the Performing Arts</v>
      </c>
      <c r="I14" s="1" t="s">
        <v>60</v>
      </c>
    </row>
    <row r="15" spans="1:9" x14ac:dyDescent="0.2">
      <c r="A15" s="2">
        <v>43246</v>
      </c>
      <c r="B15" s="1" t="s">
        <v>17</v>
      </c>
      <c r="C15" s="1" t="s">
        <v>61</v>
      </c>
      <c r="D15" t="str">
        <f>_xlfn.XLOOKUP($C15,Operas!$A:$A,Operas!B:B,"",0,1)&amp;""</f>
        <v/>
      </c>
      <c r="E15" t="str">
        <f>_xlfn.XLOOKUP($C15,Operas!$A:$A,Operas!C:C,"",0,1)&amp;""</f>
        <v>Gaetano Donizetti</v>
      </c>
      <c r="F15" t="str">
        <f>_xlfn.XLOOKUP($C15,Operas!$A:$A,Operas!D:D,"",0,1)&amp;""</f>
        <v>Italian</v>
      </c>
      <c r="G15" s="1" t="s">
        <v>30</v>
      </c>
      <c r="H15" s="3" t="str">
        <f>_xlfn.XLOOKUP(G15,Companies!A:A,Companies!B:B,"",0,-1)&amp;""</f>
        <v>Four Seasons Centre for the Performing Arts</v>
      </c>
      <c r="I15" s="1" t="s">
        <v>62</v>
      </c>
    </row>
    <row r="16" spans="1:9" x14ac:dyDescent="0.2">
      <c r="A16" s="2">
        <v>43501</v>
      </c>
      <c r="B16" s="1" t="s">
        <v>17</v>
      </c>
      <c r="C16" s="1" t="s">
        <v>63</v>
      </c>
      <c r="D16" t="str">
        <f>_xlfn.XLOOKUP($C16,Operas!$A:$A,Operas!B:B,"",0,1)&amp;""</f>
        <v/>
      </c>
      <c r="E16" t="str">
        <f>_xlfn.XLOOKUP($C16,Operas!$A:$A,Operas!C:C,"",0,1)&amp;""</f>
        <v>Wolfgang Amadeus Mozart</v>
      </c>
      <c r="F16" t="str">
        <f>_xlfn.XLOOKUP($C16,Operas!$A:$A,Operas!D:D,"",0,1)&amp;""</f>
        <v>Italian</v>
      </c>
      <c r="G16" s="1" t="s">
        <v>30</v>
      </c>
      <c r="H16" s="3" t="str">
        <f>_xlfn.XLOOKUP(G16,Companies!A:A,Companies!B:B,"",0,-1)&amp;""</f>
        <v>Four Seasons Centre for the Performing Arts</v>
      </c>
      <c r="I16" s="1" t="s">
        <v>64</v>
      </c>
    </row>
    <row r="17" spans="1:9" x14ac:dyDescent="0.2">
      <c r="A17" s="2">
        <v>43572</v>
      </c>
      <c r="B17" s="1" t="s">
        <v>17</v>
      </c>
      <c r="C17" s="1" t="s">
        <v>65</v>
      </c>
      <c r="D17" t="str">
        <f>_xlfn.XLOOKUP($C17,Operas!$A:$A,Operas!B:B,"",0,1)&amp;""</f>
        <v/>
      </c>
      <c r="E17" t="str">
        <f>_xlfn.XLOOKUP($C17,Operas!$A:$A,Operas!C:C,"",0,1)&amp;""</f>
        <v>Giacomo Puccini</v>
      </c>
      <c r="F17" t="str">
        <f>_xlfn.XLOOKUP($C17,Operas!$A:$A,Operas!D:D,"",0,1)&amp;""</f>
        <v>Italian</v>
      </c>
      <c r="G17" s="1" t="s">
        <v>30</v>
      </c>
      <c r="H17" s="3" t="str">
        <f>_xlfn.XLOOKUP(G17,Companies!A:A,Companies!B:B,"",0,-1)&amp;""</f>
        <v>Four Seasons Centre for the Performing Arts</v>
      </c>
    </row>
    <row r="18" spans="1:9" x14ac:dyDescent="0.2">
      <c r="A18" s="2">
        <v>43594</v>
      </c>
      <c r="B18" s="1" t="s">
        <v>17</v>
      </c>
      <c r="C18" s="1" t="s">
        <v>67</v>
      </c>
      <c r="D18" t="str">
        <f>_xlfn.XLOOKUP($C18,Operas!$A:$A,Operas!B:B,"",0,1)&amp;""</f>
        <v/>
      </c>
      <c r="E18" t="str">
        <f>_xlfn.XLOOKUP($C18,Operas!$A:$A,Operas!C:C,"",0,1)&amp;""</f>
        <v>Giuseppe Verdi</v>
      </c>
      <c r="F18" t="str">
        <f>_xlfn.XLOOKUP($C18,Operas!$A:$A,Operas!D:D,"",0,1)&amp;""</f>
        <v>Italian</v>
      </c>
      <c r="G18" s="1" t="s">
        <v>30</v>
      </c>
      <c r="H18" s="3" t="str">
        <f>_xlfn.XLOOKUP(G18,Companies!A:A,Companies!B:B,"",0,-1)&amp;""</f>
        <v>Four Seasons Centre for the Performing Arts</v>
      </c>
    </row>
    <row r="19" spans="1:9" x14ac:dyDescent="0.2">
      <c r="A19" s="2">
        <v>43747</v>
      </c>
      <c r="B19" s="1" t="s">
        <v>17</v>
      </c>
      <c r="C19" s="1" t="s">
        <v>68</v>
      </c>
      <c r="D19" t="str">
        <f>_xlfn.XLOOKUP($C19,Operas!$A:$A,Operas!B:B,"",0,1)&amp;""</f>
        <v/>
      </c>
      <c r="E19" t="str">
        <f>_xlfn.XLOOKUP($C19,Operas!$A:$A,Operas!C:C,"",0,1)&amp;""</f>
        <v>Giacomo Puccini</v>
      </c>
      <c r="F19" t="str">
        <f>_xlfn.XLOOKUP($C19,Operas!$A:$A,Operas!D:D,"",0,1)&amp;""</f>
        <v>Italian</v>
      </c>
      <c r="G19" s="1" t="s">
        <v>30</v>
      </c>
      <c r="H19" s="3" t="str">
        <f>_xlfn.XLOOKUP(G19,Companies!A:A,Companies!B:B,"",0,-1)&amp;""</f>
        <v>Four Seasons Centre for the Performing Arts</v>
      </c>
    </row>
    <row r="20" spans="1:9" x14ac:dyDescent="0.2">
      <c r="A20" s="2">
        <v>43754</v>
      </c>
      <c r="B20" s="1" t="s">
        <v>17</v>
      </c>
      <c r="C20" s="1" t="s">
        <v>69</v>
      </c>
      <c r="D20" t="str">
        <f>_xlfn.XLOOKUP($C20,Operas!$A:$A,Operas!B:B,"",0,1)&amp;""</f>
        <v/>
      </c>
      <c r="E20" t="str">
        <f>_xlfn.XLOOKUP($C20,Operas!$A:$A,Operas!C:C,"",0,1)&amp;""</f>
        <v>Antonín Dvořák</v>
      </c>
      <c r="F20" t="str">
        <f>_xlfn.XLOOKUP($C20,Operas!$A:$A,Operas!D:D,"",0,1)&amp;""</f>
        <v>Czech</v>
      </c>
      <c r="G20" s="1" t="s">
        <v>30</v>
      </c>
      <c r="H20" s="3" t="str">
        <f>_xlfn.XLOOKUP(G20,Companies!A:A,Companies!B:B,"",0,-1)&amp;""</f>
        <v>Four Seasons Centre for the Performing Arts</v>
      </c>
    </row>
    <row r="21" spans="1:9" x14ac:dyDescent="0.2">
      <c r="A21" s="2">
        <v>43852</v>
      </c>
      <c r="B21" s="4">
        <v>0.8125</v>
      </c>
      <c r="C21" s="1" t="s">
        <v>72</v>
      </c>
      <c r="D21" t="str">
        <f>_xlfn.XLOOKUP($C21,Operas!$A:$A,Operas!B:B,"",0,1)&amp;""</f>
        <v>Il barbiere di Siviglia</v>
      </c>
      <c r="E21" t="str">
        <f>_xlfn.XLOOKUP($C21,Operas!$A:$A,Operas!C:C,"",0,1)&amp;""</f>
        <v>Gioachino Rossini</v>
      </c>
      <c r="F21" t="str">
        <f>_xlfn.XLOOKUP($C21,Operas!$A:$A,Operas!D:D,"",0,1)&amp;""</f>
        <v>Italian</v>
      </c>
      <c r="G21" s="1" t="s">
        <v>30</v>
      </c>
      <c r="H21" s="3" t="str">
        <f>_xlfn.XLOOKUP(G21,Companies!A:A,Companies!B:B,"",0,-1)&amp;""</f>
        <v>Four Seasons Centre for the Performing Arts</v>
      </c>
    </row>
    <row r="22" spans="1:9" x14ac:dyDescent="0.2">
      <c r="A22" s="2">
        <v>43882</v>
      </c>
      <c r="B22" s="1" t="s">
        <v>17</v>
      </c>
      <c r="C22" s="1" t="s">
        <v>14</v>
      </c>
      <c r="D22" t="str">
        <f>_xlfn.XLOOKUP($C22,Operas!$A:$A,Operas!B:B,"",0,1)&amp;""</f>
        <v/>
      </c>
      <c r="E22" t="str">
        <f>_xlfn.XLOOKUP($C22,Operas!$A:$A,Operas!C:C,"",0,1)&amp;""</f>
        <v>Engelbert Humperdinck</v>
      </c>
      <c r="F22" t="str">
        <f>_xlfn.XLOOKUP($C22,Operas!$A:$A,Operas!D:D,"",0,1)&amp;""</f>
        <v>German</v>
      </c>
      <c r="G22" s="1" t="s">
        <v>30</v>
      </c>
      <c r="H22" s="3" t="str">
        <f>_xlfn.XLOOKUP(G22,Companies!A:A,Companies!B:B,"",0,-1)&amp;""</f>
        <v>Four Seasons Centre for the Performing Arts</v>
      </c>
    </row>
    <row r="23" spans="1:9" x14ac:dyDescent="0.2">
      <c r="A23" s="2">
        <v>44682</v>
      </c>
      <c r="B23" s="1" t="s">
        <v>27</v>
      </c>
      <c r="C23" s="1" t="s">
        <v>18</v>
      </c>
      <c r="D23" t="str">
        <f>_xlfn.XLOOKUP($C23,Operas!$A:$A,Operas!B:B,"",0,1)&amp;""</f>
        <v/>
      </c>
      <c r="E23" t="str">
        <f>_xlfn.XLOOKUP($C23,Operas!$A:$A,Operas!C:C,"",0,1)&amp;""</f>
        <v>Giuseppe Verdi</v>
      </c>
      <c r="F23" t="str">
        <f>_xlfn.XLOOKUP($C23,Operas!$A:$A,Operas!D:D,"",0,1)&amp;""</f>
        <v>Italian</v>
      </c>
      <c r="G23" s="1" t="s">
        <v>30</v>
      </c>
      <c r="H23" s="3" t="str">
        <f>_xlfn.XLOOKUP(G23,Companies!A:A,Companies!B:B,"",0,-1)&amp;""</f>
        <v>Four Seasons Centre for the Performing Arts</v>
      </c>
      <c r="I23" s="1" t="s">
        <v>75</v>
      </c>
    </row>
    <row r="24" spans="1:9" x14ac:dyDescent="0.2">
      <c r="A24" s="2">
        <v>44689</v>
      </c>
      <c r="B24" s="1" t="s">
        <v>27</v>
      </c>
      <c r="C24" s="1" t="s">
        <v>40</v>
      </c>
      <c r="D24" t="str">
        <f>_xlfn.XLOOKUP($C24,Operas!$A:$A,Operas!B:B,"",0,1)&amp;""</f>
        <v>Die Zauberflöte</v>
      </c>
      <c r="E24" t="str">
        <f>_xlfn.XLOOKUP($C24,Operas!$A:$A,Operas!C:C,"",0,1)&amp;""</f>
        <v>Wolfgang Amadeus Mozart</v>
      </c>
      <c r="F24" t="str">
        <f>_xlfn.XLOOKUP($C24,Operas!$A:$A,Operas!D:D,"",0,1)&amp;""</f>
        <v>German</v>
      </c>
      <c r="G24" s="1" t="s">
        <v>30</v>
      </c>
      <c r="H24" s="3" t="str">
        <f>_xlfn.XLOOKUP(G24,Companies!A:A,Companies!B:B,"",0,-1)&amp;""</f>
        <v>Four Seasons Centre for the Performing Arts</v>
      </c>
      <c r="I24" s="1" t="s">
        <v>75</v>
      </c>
    </row>
    <row r="25" spans="1:9" x14ac:dyDescent="0.2">
      <c r="A25" s="2">
        <v>44857</v>
      </c>
      <c r="B25" s="1" t="s">
        <v>27</v>
      </c>
      <c r="C25" s="1" t="s">
        <v>76</v>
      </c>
      <c r="D25" t="str">
        <f>_xlfn.XLOOKUP($C25,Operas!$A:$A,Operas!B:B,"",0,1)&amp;""</f>
        <v>Der fliegende Holländer</v>
      </c>
      <c r="E25" t="str">
        <f>_xlfn.XLOOKUP($C25,Operas!$A:$A,Operas!C:C,"",0,1)&amp;""</f>
        <v>Richard Wagner</v>
      </c>
      <c r="F25" t="str">
        <f>_xlfn.XLOOKUP($C25,Operas!$A:$A,Operas!D:D,"",0,1)&amp;""</f>
        <v>German</v>
      </c>
      <c r="G25" s="1" t="s">
        <v>30</v>
      </c>
      <c r="H25" s="3" t="str">
        <f>_xlfn.XLOOKUP(G25,Companies!A:A,Companies!B:B,"",0,-1)&amp;""</f>
        <v>Four Seasons Centre for the Performing Arts</v>
      </c>
      <c r="I25" s="1" t="s">
        <v>78</v>
      </c>
    </row>
    <row r="26" spans="1:9" x14ac:dyDescent="0.2">
      <c r="A26" s="2">
        <v>44869</v>
      </c>
      <c r="B26" s="1" t="s">
        <v>17</v>
      </c>
      <c r="C26" s="1" t="s">
        <v>9</v>
      </c>
      <c r="D26" t="str">
        <f>_xlfn.XLOOKUP($C26,Operas!$A:$A,Operas!B:B,"",0,1)&amp;""</f>
        <v/>
      </c>
      <c r="E26" t="str">
        <f>_xlfn.XLOOKUP($C26,Operas!$A:$A,Operas!C:C,"",0,1)&amp;""</f>
        <v>Georges Bizet</v>
      </c>
      <c r="F26" t="str">
        <f>_xlfn.XLOOKUP($C26,Operas!$A:$A,Operas!D:D,"",0,1)&amp;""</f>
        <v>French</v>
      </c>
      <c r="G26" s="1" t="s">
        <v>30</v>
      </c>
      <c r="H26" s="3" t="str">
        <f>_xlfn.XLOOKUP(G26,Companies!A:A,Companies!B:B,"",0,-1)&amp;""</f>
        <v>Four Seasons Centre for the Performing Arts</v>
      </c>
      <c r="I26" s="1" t="s">
        <v>79</v>
      </c>
    </row>
    <row r="27" spans="1:9" x14ac:dyDescent="0.2">
      <c r="A27" s="2">
        <v>44967</v>
      </c>
      <c r="B27" s="1" t="s">
        <v>17</v>
      </c>
      <c r="C27" s="1" t="s">
        <v>80</v>
      </c>
      <c r="D27" t="str">
        <f>_xlfn.XLOOKUP($C27,Operas!$A:$A,Operas!B:B,"",0,1)&amp;""</f>
        <v>Le nozze di Figaro</v>
      </c>
      <c r="E27" t="str">
        <f>_xlfn.XLOOKUP($C27,Operas!$A:$A,Operas!C:C,"",0,1)&amp;""</f>
        <v>Wolfgang Amadeus Mozart</v>
      </c>
      <c r="F27" t="str">
        <f>_xlfn.XLOOKUP($C27,Operas!$A:$A,Operas!D:D,"",0,1)&amp;""</f>
        <v>Italian</v>
      </c>
      <c r="G27" s="1" t="s">
        <v>30</v>
      </c>
      <c r="H27" s="3" t="str">
        <f>_xlfn.XLOOKUP(G27,Companies!A:A,Companies!B:B,"",0,-1)&amp;""</f>
        <v>Four Seasons Centre for the Performing Arts</v>
      </c>
      <c r="I27" s="1" t="s">
        <v>82</v>
      </c>
    </row>
    <row r="28" spans="1:9" x14ac:dyDescent="0.2">
      <c r="A28" s="2">
        <v>44981</v>
      </c>
      <c r="B28" s="1" t="s">
        <v>17</v>
      </c>
      <c r="C28" s="1" t="s">
        <v>24</v>
      </c>
      <c r="D28" t="str">
        <f>_xlfn.XLOOKUP($C28,Operas!$A:$A,Operas!B:B,"",0,1)&amp;""</f>
        <v/>
      </c>
      <c r="E28" t="str">
        <f>_xlfn.XLOOKUP($C28,Operas!$A:$A,Operas!C:C,"",0,1)&amp;""</f>
        <v>Richard Strauss</v>
      </c>
      <c r="F28" t="str">
        <f>_xlfn.XLOOKUP($C28,Operas!$A:$A,Operas!D:D,"",0,1)&amp;""</f>
        <v>German</v>
      </c>
      <c r="G28" s="1" t="s">
        <v>30</v>
      </c>
      <c r="H28" s="3" t="str">
        <f>_xlfn.XLOOKUP(G28,Companies!A:A,Companies!B:B,"",0,-1)&amp;""</f>
        <v>Four Seasons Centre for the Performing Arts</v>
      </c>
      <c r="I28" s="1" t="s">
        <v>83</v>
      </c>
    </row>
    <row r="29" spans="1:9" x14ac:dyDescent="0.2">
      <c r="A29" s="2">
        <v>45046</v>
      </c>
      <c r="B29" s="1" t="s">
        <v>27</v>
      </c>
      <c r="C29" s="1" t="s">
        <v>84</v>
      </c>
      <c r="D29" t="str">
        <f>_xlfn.XLOOKUP($C29,Operas!$A:$A,Operas!B:B,"",0,1)&amp;""</f>
        <v/>
      </c>
      <c r="E29" t="str">
        <f>_xlfn.XLOOKUP($C29,Operas!$A:$A,Operas!C:C,"",0,1)&amp;""</f>
        <v>Giuseppe Verdi</v>
      </c>
      <c r="F29" t="str">
        <f>_xlfn.XLOOKUP($C29,Operas!$A:$A,Operas!D:D,"",0,1)&amp;""</f>
        <v>Italian</v>
      </c>
      <c r="G29" s="1" t="s">
        <v>30</v>
      </c>
      <c r="H29" s="3" t="str">
        <f>_xlfn.XLOOKUP(G29,Companies!A:A,Companies!B:B,"",0,-1)&amp;""</f>
        <v>Four Seasons Centre for the Performing Arts</v>
      </c>
      <c r="I29" s="1" t="s">
        <v>75</v>
      </c>
    </row>
    <row r="30" spans="1:9" x14ac:dyDescent="0.2">
      <c r="A30" s="2">
        <v>45067</v>
      </c>
      <c r="B30" s="1" t="s">
        <v>27</v>
      </c>
      <c r="C30" s="1" t="s">
        <v>85</v>
      </c>
      <c r="D30" t="str">
        <f>_xlfn.XLOOKUP($C30,Operas!$A:$A,Operas!B:B,"",0,1)&amp;""</f>
        <v/>
      </c>
      <c r="E30" t="str">
        <f>_xlfn.XLOOKUP($C30,Operas!$A:$A,Operas!C:C,"",0,1)&amp;""</f>
        <v>Giacomo Puccini</v>
      </c>
      <c r="F30" t="str">
        <f>_xlfn.XLOOKUP($C30,Operas!$A:$A,Operas!D:D,"",0,1)&amp;""</f>
        <v>Italian</v>
      </c>
      <c r="G30" s="1" t="s">
        <v>30</v>
      </c>
      <c r="H30" s="3" t="str">
        <f>_xlfn.XLOOKUP(G30,Companies!A:A,Companies!B:B,"",0,-1)&amp;""</f>
        <v>Four Seasons Centre for the Performing Arts</v>
      </c>
      <c r="I30" s="1" t="s">
        <v>75</v>
      </c>
    </row>
    <row r="31" spans="1:9" x14ac:dyDescent="0.2">
      <c r="A31" s="2">
        <v>45207</v>
      </c>
      <c r="B31" s="1" t="s">
        <v>27</v>
      </c>
      <c r="C31" s="1" t="s">
        <v>65</v>
      </c>
      <c r="D31" t="str">
        <f>_xlfn.XLOOKUP($C31,Operas!$A:$A,Operas!B:B,"",0,1)&amp;""</f>
        <v/>
      </c>
      <c r="E31" t="str">
        <f>_xlfn.XLOOKUP($C31,Operas!$A:$A,Operas!C:C,"",0,1)&amp;""</f>
        <v>Giacomo Puccini</v>
      </c>
      <c r="F31" t="str">
        <f>_xlfn.XLOOKUP($C31,Operas!$A:$A,Operas!D:D,"",0,1)&amp;""</f>
        <v>Italian</v>
      </c>
      <c r="G31" s="1" t="s">
        <v>30</v>
      </c>
      <c r="H31" s="3" t="str">
        <f>_xlfn.XLOOKUP(G31,Companies!A:A,Companies!B:B,"",0,-1)&amp;""</f>
        <v>Four Seasons Centre for the Performing Arts</v>
      </c>
      <c r="I31" s="1" t="s">
        <v>75</v>
      </c>
    </row>
    <row r="32" spans="1:9" x14ac:dyDescent="0.2">
      <c r="A32" s="2">
        <v>45213</v>
      </c>
      <c r="B32" s="1" t="s">
        <v>86</v>
      </c>
      <c r="C32" s="1" t="s">
        <v>87</v>
      </c>
      <c r="D32" t="str">
        <f>_xlfn.XLOOKUP($C32,Operas!$A:$A,Operas!B:B,"",0,1)&amp;""</f>
        <v/>
      </c>
      <c r="E32" t="str">
        <f>_xlfn.XLOOKUP($C32,Operas!$A:$A,Operas!C:C,"",0,1)&amp;""</f>
        <v>Ludwig van Beethoven</v>
      </c>
      <c r="F32" t="str">
        <f>_xlfn.XLOOKUP($C32,Operas!$A:$A,Operas!D:D,"",0,1)&amp;""</f>
        <v>German</v>
      </c>
      <c r="G32" s="1" t="s">
        <v>30</v>
      </c>
      <c r="H32" s="3" t="str">
        <f>_xlfn.XLOOKUP(G32,Companies!A:A,Companies!B:B,"",0,-1)&amp;""</f>
        <v>Four Seasons Centre for the Performing Arts</v>
      </c>
      <c r="I32" s="1" t="s">
        <v>89</v>
      </c>
    </row>
    <row r="33" spans="1:9" x14ac:dyDescent="0.2">
      <c r="A33" s="2">
        <v>45317</v>
      </c>
      <c r="B33" s="1" t="s">
        <v>17</v>
      </c>
      <c r="C33" s="1" t="s">
        <v>90</v>
      </c>
      <c r="D33" t="str">
        <f>_xlfn.XLOOKUP($C33,Operas!$A:$A,Operas!B:B,"",0,1)&amp;""</f>
        <v>Příhody lišky Bystroušky</v>
      </c>
      <c r="E33" t="str">
        <f>_xlfn.XLOOKUP($C33,Operas!$A:$A,Operas!C:C,"",0,1)&amp;""</f>
        <v>Leoš Janáček</v>
      </c>
      <c r="F33" t="str">
        <f>_xlfn.XLOOKUP($C33,Operas!$A:$A,Operas!D:D,"",0,1)&amp;""</f>
        <v>Czech</v>
      </c>
      <c r="G33" s="1" t="s">
        <v>30</v>
      </c>
      <c r="H33" s="3" t="str">
        <f>_xlfn.XLOOKUP(G33,Companies!A:A,Companies!B:B,"",0,-1)&amp;""</f>
        <v>Four Seasons Centre for the Performing Arts</v>
      </c>
      <c r="I33" s="1" t="s">
        <v>93</v>
      </c>
    </row>
    <row r="34" spans="1:9" x14ac:dyDescent="0.2">
      <c r="A34" s="2">
        <v>45326</v>
      </c>
      <c r="B34" s="1" t="s">
        <v>27</v>
      </c>
      <c r="C34" s="1" t="s">
        <v>94</v>
      </c>
      <c r="D34" t="str">
        <f>_xlfn.XLOOKUP($C34,Operas!$A:$A,Operas!B:B,"",0,1)&amp;""</f>
        <v/>
      </c>
      <c r="E34" t="str">
        <f>_xlfn.XLOOKUP($C34,Operas!$A:$A,Operas!C:C,"",0,1)&amp;""</f>
        <v>Wolfgang Amadeus Mozart</v>
      </c>
      <c r="F34" t="str">
        <f>_xlfn.XLOOKUP($C34,Operas!$A:$A,Operas!D:D,"",0,1)&amp;""</f>
        <v>Italian</v>
      </c>
      <c r="G34" s="1" t="s">
        <v>30</v>
      </c>
      <c r="H34" s="3" t="str">
        <f>_xlfn.XLOOKUP(G34,Companies!A:A,Companies!B:B,"",0,-1)&amp;""</f>
        <v>Four Seasons Centre for the Performing Arts</v>
      </c>
      <c r="I34" s="1" t="s">
        <v>75</v>
      </c>
    </row>
    <row r="35" spans="1:9" x14ac:dyDescent="0.2">
      <c r="A35" s="2">
        <v>45415</v>
      </c>
      <c r="B35" s="1" t="s">
        <v>17</v>
      </c>
      <c r="C35" s="1" t="s">
        <v>95</v>
      </c>
      <c r="D35" t="str">
        <f>_xlfn.XLOOKUP($C35,Operas!$A:$A,Operas!B:B,"",0,1)&amp;""</f>
        <v/>
      </c>
      <c r="E35" t="str">
        <f>_xlfn.XLOOKUP($C35,Operas!$A:$A,Operas!C:C,"",0,1)&amp;""</f>
        <v>Luigi Cherubini</v>
      </c>
      <c r="F35" t="str">
        <f>_xlfn.XLOOKUP($C35,Operas!$A:$A,Operas!D:D,"",0,1)&amp;""</f>
        <v>Italian</v>
      </c>
      <c r="G35" s="1" t="s">
        <v>30</v>
      </c>
      <c r="H35" s="3" t="str">
        <f>_xlfn.XLOOKUP(G35,Companies!A:A,Companies!B:B,"",0,-1)&amp;""</f>
        <v>Four Seasons Centre for the Performing Arts</v>
      </c>
      <c r="I35" s="1" t="s">
        <v>97</v>
      </c>
    </row>
    <row r="36" spans="1:9" x14ac:dyDescent="0.2">
      <c r="A36" s="2">
        <v>45424</v>
      </c>
      <c r="B36" s="1" t="s">
        <v>27</v>
      </c>
      <c r="C36" s="1" t="s">
        <v>98</v>
      </c>
      <c r="D36" t="str">
        <f>_xlfn.XLOOKUP($C36,Operas!$A:$A,Operas!B:B,"",0,1)&amp;""</f>
        <v/>
      </c>
      <c r="E36" t="str">
        <f>_xlfn.XLOOKUP($C36,Operas!$A:$A,Operas!C:C,"",0,1)&amp;""</f>
        <v>Gaetano Donizetti</v>
      </c>
      <c r="F36" t="str">
        <f>_xlfn.XLOOKUP($C36,Operas!$A:$A,Operas!D:D,"",0,1)&amp;""</f>
        <v>Italian</v>
      </c>
      <c r="G36" s="1" t="s">
        <v>30</v>
      </c>
      <c r="H36" s="3" t="str">
        <f>_xlfn.XLOOKUP(G36,Companies!A:A,Companies!B:B,"",0,-1)&amp;""</f>
        <v>Four Seasons Centre for the Performing Arts</v>
      </c>
      <c r="I36" s="1" t="s">
        <v>75</v>
      </c>
    </row>
    <row r="37" spans="1:9" x14ac:dyDescent="0.2">
      <c r="A37" s="2">
        <v>45571</v>
      </c>
      <c r="B37" s="1" t="s">
        <v>27</v>
      </c>
      <c r="C37" s="1" t="s">
        <v>99</v>
      </c>
      <c r="D37" t="str">
        <f>_xlfn.XLOOKUP($C37,Operas!$A:$A,Operas!B:B,"",0,1)&amp;""</f>
        <v/>
      </c>
      <c r="E37" t="str">
        <f>_xlfn.XLOOKUP($C37,Operas!$A:$A,Operas!C:C,"",0,1)&amp;""</f>
        <v>Giuseppe Verdi</v>
      </c>
      <c r="F37" t="str">
        <f>_xlfn.XLOOKUP($C37,Operas!$A:$A,Operas!D:D,"",0,1)&amp;""</f>
        <v>Italian</v>
      </c>
      <c r="G37" s="1" t="s">
        <v>30</v>
      </c>
      <c r="H37" s="3" t="str">
        <f>_xlfn.XLOOKUP(G37,Companies!A:A,Companies!B:B,"",0,-1)&amp;""</f>
        <v>Four Seasons Centre for the Performing Arts</v>
      </c>
      <c r="I37" s="1" t="s">
        <v>75</v>
      </c>
    </row>
    <row r="38" spans="1:9" x14ac:dyDescent="0.2">
      <c r="A38" s="2">
        <v>45578</v>
      </c>
      <c r="B38" s="1" t="s">
        <v>27</v>
      </c>
      <c r="C38" s="1" t="s">
        <v>100</v>
      </c>
      <c r="D38" t="str">
        <f>_xlfn.XLOOKUP($C38,Operas!$A:$A,Operas!B:B,"",0,1)&amp;""</f>
        <v/>
      </c>
      <c r="E38" t="str">
        <f>_xlfn.XLOOKUP($C38,Operas!$A:$A,Operas!C:C,"",0,1)&amp;""</f>
        <v>Charles Gounod</v>
      </c>
      <c r="F38" t="str">
        <f>_xlfn.XLOOKUP($C38,Operas!$A:$A,Operas!D:D,"",0,1)&amp;""</f>
        <v>French</v>
      </c>
      <c r="G38" s="1" t="s">
        <v>30</v>
      </c>
      <c r="H38" s="3" t="str">
        <f>_xlfn.XLOOKUP(G38,Companies!A:A,Companies!B:B,"",0,-1)&amp;""</f>
        <v>Four Seasons Centre for the Performing Arts</v>
      </c>
      <c r="I38" s="1" t="s">
        <v>75</v>
      </c>
    </row>
    <row r="39" spans="1:9" x14ac:dyDescent="0.2">
      <c r="A39" s="2">
        <v>45683</v>
      </c>
      <c r="B39" s="1" t="s">
        <v>27</v>
      </c>
      <c r="C39" s="1" t="s">
        <v>102</v>
      </c>
      <c r="D39" t="str">
        <f>_xlfn.XLOOKUP($C39,Operas!$A:$A,Operas!B:B,"",0,1)&amp;""</f>
        <v/>
      </c>
      <c r="E39" t="str">
        <f>_xlfn.XLOOKUP($C39,Operas!$A:$A,Operas!C:C,"",0,1)&amp;""</f>
        <v>Giacomo Puccini</v>
      </c>
      <c r="F39" t="str">
        <f>_xlfn.XLOOKUP($C39,Operas!$A:$A,Operas!D:D,"",0,1)&amp;""</f>
        <v>Italian</v>
      </c>
      <c r="G39" s="1" t="s">
        <v>30</v>
      </c>
      <c r="H39" s="3" t="str">
        <f>_xlfn.XLOOKUP(G39,Companies!A:A,Companies!B:B,"",0,-1)&amp;""</f>
        <v>Four Seasons Centre for the Performing Arts</v>
      </c>
      <c r="I39" s="1" t="s">
        <v>75</v>
      </c>
    </row>
    <row r="40" spans="1:9" x14ac:dyDescent="0.2">
      <c r="A40" s="2">
        <v>45690</v>
      </c>
      <c r="B40" s="1" t="s">
        <v>27</v>
      </c>
      <c r="C40" s="1" t="s">
        <v>103</v>
      </c>
      <c r="D40" t="str">
        <f>_xlfn.XLOOKUP($C40,Operas!$A:$A,Operas!B:B,"",0,1)&amp;""</f>
        <v/>
      </c>
      <c r="E40" t="str">
        <f>_xlfn.XLOOKUP($C40,Operas!$A:$A,Operas!C:C,"",0,1)&amp;""</f>
        <v>Julien Bilodeau</v>
      </c>
      <c r="F40" t="str">
        <f>_xlfn.XLOOKUP($C40,Operas!$A:$A,Operas!D:D,"",0,1)&amp;""</f>
        <v>French</v>
      </c>
      <c r="G40" s="1" t="s">
        <v>30</v>
      </c>
      <c r="H40" s="3" t="str">
        <f>_xlfn.XLOOKUP(G40,Companies!A:A,Companies!B:B,"",0,-1)&amp;""</f>
        <v>Four Seasons Centre for the Performing Arts</v>
      </c>
      <c r="I40" s="1" t="s">
        <v>75</v>
      </c>
    </row>
    <row r="41" spans="1:9" x14ac:dyDescent="0.2">
      <c r="A41" s="2">
        <v>45774</v>
      </c>
      <c r="B41" s="1" t="s">
        <v>27</v>
      </c>
      <c r="C41" s="1" t="s">
        <v>105</v>
      </c>
      <c r="D41" t="str">
        <f>_xlfn.XLOOKUP($C41,Operas!$A:$A,Operas!B:B,"",0,1)&amp;""</f>
        <v/>
      </c>
      <c r="E41" t="str">
        <f>_xlfn.XLOOKUP($C41,Operas!$A:$A,Operas!C:C,"",0,1)&amp;""</f>
        <v>Alban Berg</v>
      </c>
      <c r="F41" t="str">
        <f>_xlfn.XLOOKUP($C41,Operas!$A:$A,Operas!D:D,"",0,1)&amp;""</f>
        <v>German</v>
      </c>
      <c r="G41" s="1" t="s">
        <v>30</v>
      </c>
      <c r="H41" s="3" t="str">
        <f>_xlfn.XLOOKUP(G41,Companies!A:A,Companies!B:B,"",0,-1)&amp;""</f>
        <v>Four Seasons Centre for the Performing Arts</v>
      </c>
      <c r="I41" s="1" t="s">
        <v>75</v>
      </c>
    </row>
    <row r="42" spans="1:9" x14ac:dyDescent="0.2">
      <c r="A42" s="2">
        <v>45779</v>
      </c>
      <c r="B42" s="1" t="s">
        <v>17</v>
      </c>
      <c r="C42" s="1" t="s">
        <v>107</v>
      </c>
      <c r="D42" t="str">
        <f>_xlfn.XLOOKUP($C42,Operas!$A:$A,Operas!B:B,"",0,1)&amp;""</f>
        <v/>
      </c>
      <c r="E42" t="str">
        <f>_xlfn.XLOOKUP($C42,Operas!$A:$A,Operas!C:C,"",0,1)&amp;""</f>
        <v>Pyotr Ilyich Tchaikovsky</v>
      </c>
      <c r="F42" t="str">
        <f>_xlfn.XLOOKUP($C42,Operas!$A:$A,Operas!D:D,"",0,1)&amp;""</f>
        <v>Russian</v>
      </c>
      <c r="G42" s="1" t="s">
        <v>30</v>
      </c>
      <c r="H42" s="3" t="str">
        <f>_xlfn.XLOOKUP(G42,Companies!A:A,Companies!B:B,"",0,-1)&amp;""</f>
        <v>Four Seasons Centre for the Performing Arts</v>
      </c>
      <c r="I42" s="1" t="s">
        <v>110</v>
      </c>
    </row>
    <row r="43" spans="1:9" x14ac:dyDescent="0.2">
      <c r="A43" s="2">
        <v>45800</v>
      </c>
      <c r="B43" s="1" t="s">
        <v>17</v>
      </c>
      <c r="C43" s="1" t="s">
        <v>111</v>
      </c>
      <c r="D43" t="str">
        <f>_xlfn.XLOOKUP($C43,Operas!$A:$A,Operas!B:B,"",0,1)&amp;""</f>
        <v/>
      </c>
      <c r="E43" t="str">
        <f>_xlfn.XLOOKUP($C43,Operas!$A:$A,Operas!C:C,"",0,1)&amp;""</f>
        <v>Pietro Mascagni</v>
      </c>
      <c r="F43" t="str">
        <f>_xlfn.XLOOKUP($C43,Operas!$A:$A,Operas!D:D,"",0,1)&amp;""</f>
        <v>Italian</v>
      </c>
      <c r="G43" s="1" t="s">
        <v>30</v>
      </c>
      <c r="H43" s="3" t="str">
        <f>_xlfn.XLOOKUP(G43,Companies!A:A,Companies!B:B,"",0,-1)&amp;""</f>
        <v>Four Seasons Centre for the Performing Arts</v>
      </c>
      <c r="I43" s="1" t="s">
        <v>75</v>
      </c>
    </row>
    <row r="44" spans="1:9" x14ac:dyDescent="0.2">
      <c r="A44" s="2">
        <v>45944</v>
      </c>
      <c r="B44" s="1" t="s">
        <v>17</v>
      </c>
      <c r="C44" s="1" t="s">
        <v>113</v>
      </c>
      <c r="D44" t="str">
        <f>_xlfn.XLOOKUP($C44,Operas!$A:$A,Operas!B:B,"",0,1)&amp;""</f>
        <v>Roméo et Juliette</v>
      </c>
      <c r="E44" t="str">
        <f>_xlfn.XLOOKUP($C44,Operas!$A:$A,Operas!C:C,"",0,1)&amp;""</f>
        <v>Charles Gounod</v>
      </c>
      <c r="F44" t="str">
        <f>_xlfn.XLOOKUP($C44,Operas!$A:$A,Operas!D:D,"",0,1)&amp;""</f>
        <v>French</v>
      </c>
      <c r="G44" s="1" t="s">
        <v>30</v>
      </c>
      <c r="H44" s="3" t="str">
        <f>_xlfn.XLOOKUP(G44,Companies!A:A,Companies!B:B,"",0,-1)&amp;""</f>
        <v>Four Seasons Centre for the Performing Arts</v>
      </c>
      <c r="I44" s="1" t="s">
        <v>115</v>
      </c>
    </row>
    <row r="45" spans="1:9" x14ac:dyDescent="0.2">
      <c r="A45" s="2">
        <v>45949</v>
      </c>
      <c r="B45" s="1" t="s">
        <v>27</v>
      </c>
      <c r="C45" s="1" t="s">
        <v>116</v>
      </c>
      <c r="D45" t="str">
        <f>_xlfn.XLOOKUP($C45,Operas!$A:$A,Operas!B:B,"",0,1)&amp;""</f>
        <v/>
      </c>
      <c r="E45" t="str">
        <f>_xlfn.XLOOKUP($C45,Operas!$A:$A,Operas!C:C,"",0,1)&amp;""</f>
        <v>Christoph Willibald Gluck</v>
      </c>
      <c r="F45" t="str">
        <f>_xlfn.XLOOKUP($C45,Operas!$A:$A,Operas!D:D,"",0,1)&amp;""</f>
        <v>Italian</v>
      </c>
      <c r="G45" s="1" t="s">
        <v>30</v>
      </c>
      <c r="H45" s="3" t="str">
        <f>_xlfn.XLOOKUP(G45,Companies!A:A,Companies!B:B,"",0,-1)&amp;""</f>
        <v>Four Seasons Centre for the Performing Arts</v>
      </c>
      <c r="I45" s="1" t="s">
        <v>75</v>
      </c>
    </row>
    <row r="46" spans="1:9" x14ac:dyDescent="0.2">
      <c r="A46" s="2">
        <v>46061</v>
      </c>
      <c r="B46" s="1" t="s">
        <v>27</v>
      </c>
      <c r="C46" s="1" t="s">
        <v>56</v>
      </c>
      <c r="D46" t="str">
        <f>_xlfn.XLOOKUP($C46,Operas!$A:$A,Operas!B:B,"",0,1)&amp;""</f>
        <v/>
      </c>
      <c r="E46" t="str">
        <f>_xlfn.XLOOKUP($C46,Operas!$A:$A,Operas!C:C,"",0,1)&amp;""</f>
        <v>Giuseppe Verdi</v>
      </c>
      <c r="F46" t="str">
        <f>_xlfn.XLOOKUP($C46,Operas!$A:$A,Operas!D:D,"",0,1)&amp;""</f>
        <v>Italian</v>
      </c>
      <c r="G46" s="1" t="s">
        <v>30</v>
      </c>
      <c r="H46" s="3" t="str">
        <f>_xlfn.XLOOKUP(G46,Companies!A:A,Companies!B:B,"",0,-1)&amp;""</f>
        <v>Four Seasons Centre for the Performing Arts</v>
      </c>
      <c r="I46" s="1" t="s">
        <v>75</v>
      </c>
    </row>
    <row r="47" spans="1:9" x14ac:dyDescent="0.2">
      <c r="A47" s="2">
        <v>46068</v>
      </c>
      <c r="B47" s="1" t="s">
        <v>27</v>
      </c>
      <c r="C47" s="1" t="s">
        <v>72</v>
      </c>
      <c r="D47" t="str">
        <f>_xlfn.XLOOKUP($C47,Operas!$A:$A,Operas!B:B,"",0,1)&amp;""</f>
        <v>Il barbiere di Siviglia</v>
      </c>
      <c r="E47" t="str">
        <f>_xlfn.XLOOKUP($C47,Operas!$A:$A,Operas!C:C,"",0,1)&amp;""</f>
        <v>Gioachino Rossini</v>
      </c>
      <c r="F47" t="str">
        <f>_xlfn.XLOOKUP($C47,Operas!$A:$A,Operas!D:D,"",0,1)&amp;""</f>
        <v>Italian</v>
      </c>
      <c r="G47" s="1" t="s">
        <v>30</v>
      </c>
      <c r="H47" s="3" t="str">
        <f>_xlfn.XLOOKUP(G47,Companies!A:A,Companies!B:B,"",0,-1)&amp;""</f>
        <v>Four Seasons Centre for the Performing Arts</v>
      </c>
      <c r="I47" s="1" t="s">
        <v>75</v>
      </c>
    </row>
    <row r="48" spans="1:9" x14ac:dyDescent="0.2">
      <c r="A48" s="2">
        <v>46152</v>
      </c>
      <c r="B48" s="1" t="s">
        <v>27</v>
      </c>
      <c r="C48" s="1" t="s">
        <v>118</v>
      </c>
      <c r="D48" t="str">
        <f>_xlfn.XLOOKUP($C48,Operas!$A:$A,Operas!B:B,"",0,1)&amp;""</f>
        <v/>
      </c>
      <c r="E48" t="str">
        <f>_xlfn.XLOOKUP($C48,Operas!$A:$A,Operas!C:C,"",0,1)&amp;""</f>
        <v>Béla Bartók</v>
      </c>
      <c r="F48" t="str">
        <f>_xlfn.XLOOKUP($C48,Operas!$A:$A,Operas!D:D,"",0,1)&amp;""</f>
        <v>Hungarian</v>
      </c>
      <c r="G48" s="1" t="s">
        <v>30</v>
      </c>
      <c r="H48" s="3" t="str">
        <f>_xlfn.XLOOKUP(G48,Companies!A:A,Companies!B:B,"",0,-1)&amp;""</f>
        <v>Four Seasons Centre for the Performing Arts</v>
      </c>
      <c r="I48" s="1" t="s">
        <v>75</v>
      </c>
    </row>
    <row r="49" spans="1:9" x14ac:dyDescent="0.2">
      <c r="A49" s="2">
        <v>46152</v>
      </c>
      <c r="B49" s="1" t="s">
        <v>27</v>
      </c>
      <c r="C49" s="1" t="s">
        <v>121</v>
      </c>
      <c r="D49" t="str">
        <f>_xlfn.XLOOKUP($C49,Operas!$A:$A,Operas!B:B,"",0,1)&amp;""</f>
        <v/>
      </c>
      <c r="E49" t="str">
        <f>_xlfn.XLOOKUP($C49,Operas!$A:$A,Operas!C:C,"",0,1)&amp;""</f>
        <v>Arnold Schoenberg</v>
      </c>
      <c r="F49" t="str">
        <f>_xlfn.XLOOKUP($C49,Operas!$A:$A,Operas!D:D,"",0,1)&amp;""</f>
        <v>German</v>
      </c>
      <c r="G49" s="1" t="s">
        <v>30</v>
      </c>
      <c r="H49" s="3" t="str">
        <f>_xlfn.XLOOKUP(G49,Companies!A:A,Companies!B:B,"",0,-1)&amp;""</f>
        <v>Four Seasons Centre for the Performing Arts</v>
      </c>
      <c r="I49" s="1" t="s">
        <v>75</v>
      </c>
    </row>
    <row r="50" spans="1:9" x14ac:dyDescent="0.2">
      <c r="A50" s="2">
        <v>46159</v>
      </c>
      <c r="B50" s="1" t="s">
        <v>27</v>
      </c>
      <c r="C50" s="1" t="s">
        <v>123</v>
      </c>
      <c r="D50" t="str">
        <f>_xlfn.XLOOKUP($C50,Operas!$A:$A,Operas!B:B,"",0,1)&amp;""</f>
        <v/>
      </c>
      <c r="E50" t="str">
        <f>_xlfn.XLOOKUP($C50,Operas!$A:$A,Operas!C:C,"",0,1)&amp;""</f>
        <v>Jules Massenet</v>
      </c>
      <c r="F50" t="str">
        <f>_xlfn.XLOOKUP($C50,Operas!$A:$A,Operas!D:D,"",0,1)&amp;""</f>
        <v>French</v>
      </c>
      <c r="G50" s="1" t="s">
        <v>30</v>
      </c>
      <c r="H50" s="3" t="str">
        <f>_xlfn.XLOOKUP(G50,Companies!A:A,Companies!B:B,"",0,-1)&amp;""</f>
        <v>Four Seasons Centre for the Performing Arts</v>
      </c>
      <c r="I50" s="1" t="s">
        <v>75</v>
      </c>
    </row>
    <row r="51" spans="1:9" x14ac:dyDescent="0.2">
      <c r="A51" s="2">
        <v>46292</v>
      </c>
      <c r="B51" s="1" t="s">
        <v>27</v>
      </c>
      <c r="C51" s="1" t="s">
        <v>18</v>
      </c>
      <c r="D51" t="str">
        <f>_xlfn.XLOOKUP($C51,Operas!$A:$A,Operas!B:B,"",0,1)&amp;""</f>
        <v/>
      </c>
      <c r="E51" t="str">
        <f>_xlfn.XLOOKUP($C51,Operas!$A:$A,Operas!C:C,"",0,1)&amp;""</f>
        <v>Giuseppe Verdi</v>
      </c>
      <c r="F51" t="str">
        <f>_xlfn.XLOOKUP($C51,Operas!$A:$A,Operas!D:D,"",0,1)&amp;""</f>
        <v>Italian</v>
      </c>
      <c r="G51" s="1" t="s">
        <v>30</v>
      </c>
      <c r="H51" s="3" t="str">
        <f>_xlfn.XLOOKUP(G51,Companies!A:A,Companies!B:B,"",0,-1)&amp;""</f>
        <v>Four Seasons Centre for the Performing Arts</v>
      </c>
      <c r="I51" s="1" t="s">
        <v>75</v>
      </c>
    </row>
    <row r="52" spans="1:9" x14ac:dyDescent="0.2">
      <c r="A52" s="2">
        <v>46313</v>
      </c>
      <c r="B52" s="1" t="s">
        <v>27</v>
      </c>
      <c r="C52" s="1" t="s">
        <v>63</v>
      </c>
      <c r="D52" t="str">
        <f>_xlfn.XLOOKUP($C52,Operas!$A:$A,Operas!B:B,"",0,1)&amp;""</f>
        <v/>
      </c>
      <c r="E52" t="str">
        <f>_xlfn.XLOOKUP($C52,Operas!$A:$A,Operas!C:C,"",0,1)&amp;""</f>
        <v>Wolfgang Amadeus Mozart</v>
      </c>
      <c r="F52" t="str">
        <f>_xlfn.XLOOKUP($C52,Operas!$A:$A,Operas!D:D,"",0,1)&amp;""</f>
        <v>Italian</v>
      </c>
      <c r="G52" s="1" t="s">
        <v>30</v>
      </c>
      <c r="H52" s="3" t="str">
        <f>_xlfn.XLOOKUP(G52,Companies!A:A,Companies!B:B,"",0,-1)&amp;""</f>
        <v>Four Seasons Centre for the Performing Arts</v>
      </c>
      <c r="I52" s="1" t="s">
        <v>75</v>
      </c>
    </row>
    <row r="53" spans="1:9" x14ac:dyDescent="0.2">
      <c r="A53" s="2">
        <v>46425</v>
      </c>
      <c r="B53" s="1" t="s">
        <v>27</v>
      </c>
      <c r="C53" s="1" t="s">
        <v>125</v>
      </c>
      <c r="D53" t="str">
        <f>_xlfn.XLOOKUP($C53,Operas!$A:$A,Operas!B:B,"",0,1)&amp;""</f>
        <v/>
      </c>
      <c r="E53" t="str">
        <f>_xlfn.XLOOKUP($C53,Operas!$A:$A,Operas!C:C,"",0,1)&amp;""</f>
        <v>Benjamin Britten</v>
      </c>
      <c r="F53" t="str">
        <f>_xlfn.XLOOKUP($C53,Operas!$A:$A,Operas!D:D,"",0,1)&amp;""</f>
        <v>English</v>
      </c>
      <c r="G53" s="1" t="s">
        <v>30</v>
      </c>
      <c r="H53" s="3" t="str">
        <f>_xlfn.XLOOKUP(G53,Companies!A:A,Companies!B:B,"",0,-1)&amp;""</f>
        <v>Four Seasons Centre for the Performing Arts</v>
      </c>
      <c r="I53" s="1" t="s">
        <v>75</v>
      </c>
    </row>
    <row r="54" spans="1:9" x14ac:dyDescent="0.2">
      <c r="A54" s="2">
        <v>46432</v>
      </c>
      <c r="B54" s="1" t="s">
        <v>27</v>
      </c>
      <c r="C54" s="1" t="s">
        <v>128</v>
      </c>
      <c r="D54" t="str">
        <f>_xlfn.XLOOKUP($C54,Operas!$A:$A,Operas!B:B,"",0,1)&amp;""</f>
        <v/>
      </c>
      <c r="E54" t="str">
        <f>_xlfn.XLOOKUP($C54,Operas!$A:$A,Operas!C:C,"",0,1)&amp;""</f>
        <v>Richard Strauss</v>
      </c>
      <c r="F54" t="str">
        <f>_xlfn.XLOOKUP($C54,Operas!$A:$A,Operas!D:D,"",0,1)&amp;""</f>
        <v>German</v>
      </c>
      <c r="G54" s="1" t="s">
        <v>30</v>
      </c>
      <c r="H54" s="3" t="str">
        <f>_xlfn.XLOOKUP(G54,Companies!A:A,Companies!B:B,"",0,-1)&amp;""</f>
        <v>Four Seasons Centre for the Performing Arts</v>
      </c>
      <c r="I54" s="1" t="s">
        <v>75</v>
      </c>
    </row>
    <row r="55" spans="1:9" x14ac:dyDescent="0.2">
      <c r="A55" s="2">
        <v>46516</v>
      </c>
      <c r="B55" s="1" t="s">
        <v>27</v>
      </c>
      <c r="C55" s="1" t="s">
        <v>129</v>
      </c>
      <c r="D55" t="str">
        <f>_xlfn.XLOOKUP($C55,Operas!$A:$A,Operas!B:B,"",0,1)&amp;""</f>
        <v/>
      </c>
      <c r="E55" t="str">
        <f>_xlfn.XLOOKUP($C55,Operas!$A:$A,Operas!C:C,"",0,1)&amp;""</f>
        <v>Ian Cusson</v>
      </c>
      <c r="F55" t="str">
        <f>_xlfn.XLOOKUP($C55,Operas!$A:$A,Operas!D:D,"",0,1)&amp;""</f>
        <v>English</v>
      </c>
      <c r="G55" s="1" t="s">
        <v>30</v>
      </c>
      <c r="H55" s="3" t="str">
        <f>_xlfn.XLOOKUP(G55,Companies!A:A,Companies!B:B,"",0,-1)&amp;""</f>
        <v>Four Seasons Centre for the Performing Arts</v>
      </c>
      <c r="I55" s="1" t="s">
        <v>75</v>
      </c>
    </row>
    <row r="56" spans="1:9" x14ac:dyDescent="0.2">
      <c r="A56" s="2">
        <v>46523</v>
      </c>
      <c r="B56" s="1" t="s">
        <v>27</v>
      </c>
      <c r="C56" s="1" t="s">
        <v>52</v>
      </c>
      <c r="D56" t="str">
        <f>_xlfn.XLOOKUP($C56,Operas!$A:$A,Operas!B:B,"",0,1)&amp;""</f>
        <v>L'elisir d'amore</v>
      </c>
      <c r="E56" t="str">
        <f>_xlfn.XLOOKUP($C56,Operas!$A:$A,Operas!C:C,"",0,1)&amp;""</f>
        <v>Gaetano Donizetti</v>
      </c>
      <c r="F56" t="str">
        <f>_xlfn.XLOOKUP($C56,Operas!$A:$A,Operas!D:D,"",0,1)&amp;""</f>
        <v>Italian</v>
      </c>
      <c r="G56" s="1" t="s">
        <v>30</v>
      </c>
      <c r="H56" s="3" t="str">
        <f>_xlfn.XLOOKUP(G56,Companies!A:A,Companies!B:B,"",0,-1)&amp;""</f>
        <v>Four Seasons Centre for the Performing Arts</v>
      </c>
      <c r="I56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6E47-45A0-C245-92EB-E4EFB113D850}">
  <dimension ref="A1:D46"/>
  <sheetViews>
    <sheetView workbookViewId="0">
      <selection activeCell="B6" sqref="B6"/>
    </sheetView>
  </sheetViews>
  <sheetFormatPr baseColWidth="10" defaultRowHeight="16" x14ac:dyDescent="0.2"/>
  <cols>
    <col min="1" max="1" width="26.83203125" bestFit="1" customWidth="1"/>
    <col min="2" max="2" width="25.5" bestFit="1" customWidth="1"/>
    <col min="3" max="3" width="22.5" bestFit="1" customWidth="1"/>
    <col min="4" max="4" width="9.5" bestFit="1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 t="s">
        <v>9</v>
      </c>
      <c r="B2" t="s">
        <v>131</v>
      </c>
      <c r="C2" t="s">
        <v>10</v>
      </c>
      <c r="D2" t="s">
        <v>11</v>
      </c>
    </row>
    <row r="3" spans="1:4" x14ac:dyDescent="0.2">
      <c r="A3" t="s">
        <v>14</v>
      </c>
      <c r="B3" t="s">
        <v>131</v>
      </c>
      <c r="C3" t="s">
        <v>15</v>
      </c>
      <c r="D3" t="s">
        <v>16</v>
      </c>
    </row>
    <row r="4" spans="1:4" x14ac:dyDescent="0.2">
      <c r="A4" t="s">
        <v>18</v>
      </c>
      <c r="B4" t="s">
        <v>131</v>
      </c>
      <c r="C4" t="s">
        <v>19</v>
      </c>
      <c r="D4" t="s">
        <v>20</v>
      </c>
    </row>
    <row r="5" spans="1:4" x14ac:dyDescent="0.2">
      <c r="A5" t="s">
        <v>24</v>
      </c>
      <c r="B5" t="s">
        <v>131</v>
      </c>
      <c r="C5" t="s">
        <v>25</v>
      </c>
      <c r="D5" t="s">
        <v>16</v>
      </c>
    </row>
    <row r="6" spans="1:4" x14ac:dyDescent="0.2">
      <c r="A6" t="s">
        <v>28</v>
      </c>
      <c r="B6" t="s">
        <v>131</v>
      </c>
      <c r="C6" t="s">
        <v>29</v>
      </c>
      <c r="D6" t="s">
        <v>20</v>
      </c>
    </row>
    <row r="7" spans="1:4" x14ac:dyDescent="0.2">
      <c r="A7" t="s">
        <v>32</v>
      </c>
      <c r="B7" t="s">
        <v>131</v>
      </c>
      <c r="C7" t="s">
        <v>33</v>
      </c>
      <c r="D7" t="s">
        <v>20</v>
      </c>
    </row>
    <row r="8" spans="1:4" x14ac:dyDescent="0.2">
      <c r="A8" t="s">
        <v>37</v>
      </c>
      <c r="B8" t="s">
        <v>131</v>
      </c>
      <c r="C8" t="s">
        <v>38</v>
      </c>
      <c r="D8" t="s">
        <v>16</v>
      </c>
    </row>
    <row r="9" spans="1:4" x14ac:dyDescent="0.2">
      <c r="A9" t="s">
        <v>40</v>
      </c>
      <c r="B9" t="s">
        <v>41</v>
      </c>
      <c r="C9" t="s">
        <v>42</v>
      </c>
      <c r="D9" t="s">
        <v>16</v>
      </c>
    </row>
    <row r="10" spans="1:4" x14ac:dyDescent="0.2">
      <c r="A10" t="s">
        <v>45</v>
      </c>
      <c r="B10" t="s">
        <v>131</v>
      </c>
      <c r="C10" t="s">
        <v>46</v>
      </c>
      <c r="D10" t="s">
        <v>11</v>
      </c>
    </row>
    <row r="11" spans="1:4" x14ac:dyDescent="0.2">
      <c r="A11" t="s">
        <v>50</v>
      </c>
      <c r="B11" t="s">
        <v>131</v>
      </c>
      <c r="C11" t="s">
        <v>25</v>
      </c>
      <c r="D11" t="s">
        <v>16</v>
      </c>
    </row>
    <row r="12" spans="1:4" x14ac:dyDescent="0.2">
      <c r="A12" t="s">
        <v>52</v>
      </c>
      <c r="B12" t="s">
        <v>53</v>
      </c>
      <c r="C12" t="s">
        <v>54</v>
      </c>
      <c r="D12" t="s">
        <v>20</v>
      </c>
    </row>
    <row r="13" spans="1:4" x14ac:dyDescent="0.2">
      <c r="A13" t="s">
        <v>56</v>
      </c>
      <c r="B13" t="s">
        <v>131</v>
      </c>
      <c r="C13" t="s">
        <v>19</v>
      </c>
      <c r="D13" t="s">
        <v>20</v>
      </c>
    </row>
    <row r="14" spans="1:4" x14ac:dyDescent="0.2">
      <c r="A14" t="s">
        <v>58</v>
      </c>
      <c r="B14" t="s">
        <v>59</v>
      </c>
      <c r="C14" t="s">
        <v>42</v>
      </c>
      <c r="D14" t="s">
        <v>16</v>
      </c>
    </row>
    <row r="15" spans="1:4" x14ac:dyDescent="0.2">
      <c r="A15" t="s">
        <v>61</v>
      </c>
      <c r="B15" t="s">
        <v>131</v>
      </c>
      <c r="C15" t="s">
        <v>54</v>
      </c>
      <c r="D15" t="s">
        <v>20</v>
      </c>
    </row>
    <row r="16" spans="1:4" x14ac:dyDescent="0.2">
      <c r="A16" t="s">
        <v>63</v>
      </c>
      <c r="B16" t="s">
        <v>131</v>
      </c>
      <c r="C16" t="s">
        <v>42</v>
      </c>
      <c r="D16" t="s">
        <v>20</v>
      </c>
    </row>
    <row r="17" spans="1:4" x14ac:dyDescent="0.2">
      <c r="A17" t="s">
        <v>65</v>
      </c>
      <c r="B17" t="s">
        <v>131</v>
      </c>
      <c r="C17" t="s">
        <v>66</v>
      </c>
      <c r="D17" t="s">
        <v>20</v>
      </c>
    </row>
    <row r="18" spans="1:4" x14ac:dyDescent="0.2">
      <c r="A18" t="s">
        <v>67</v>
      </c>
      <c r="B18" t="s">
        <v>131</v>
      </c>
      <c r="C18" t="s">
        <v>19</v>
      </c>
      <c r="D18" t="s">
        <v>20</v>
      </c>
    </row>
    <row r="19" spans="1:4" x14ac:dyDescent="0.2">
      <c r="A19" t="s">
        <v>68</v>
      </c>
      <c r="B19" t="s">
        <v>131</v>
      </c>
      <c r="C19" t="s">
        <v>66</v>
      </c>
      <c r="D19" t="s">
        <v>20</v>
      </c>
    </row>
    <row r="20" spans="1:4" x14ac:dyDescent="0.2">
      <c r="A20" t="s">
        <v>69</v>
      </c>
      <c r="B20" t="s">
        <v>131</v>
      </c>
      <c r="C20" t="s">
        <v>70</v>
      </c>
      <c r="D20" t="s">
        <v>71</v>
      </c>
    </row>
    <row r="21" spans="1:4" x14ac:dyDescent="0.2">
      <c r="A21" t="s">
        <v>72</v>
      </c>
      <c r="B21" t="s">
        <v>73</v>
      </c>
      <c r="C21" t="s">
        <v>74</v>
      </c>
      <c r="D21" t="s">
        <v>20</v>
      </c>
    </row>
    <row r="22" spans="1:4" x14ac:dyDescent="0.2">
      <c r="A22" t="s">
        <v>76</v>
      </c>
      <c r="B22" t="s">
        <v>77</v>
      </c>
      <c r="C22" t="s">
        <v>38</v>
      </c>
      <c r="D22" t="s">
        <v>16</v>
      </c>
    </row>
    <row r="23" spans="1:4" x14ac:dyDescent="0.2">
      <c r="A23" t="s">
        <v>80</v>
      </c>
      <c r="B23" t="s">
        <v>81</v>
      </c>
      <c r="C23" t="s">
        <v>42</v>
      </c>
      <c r="D23" t="s">
        <v>20</v>
      </c>
    </row>
    <row r="24" spans="1:4" x14ac:dyDescent="0.2">
      <c r="A24" t="s">
        <v>84</v>
      </c>
      <c r="B24" t="s">
        <v>131</v>
      </c>
      <c r="C24" t="s">
        <v>19</v>
      </c>
      <c r="D24" t="s">
        <v>20</v>
      </c>
    </row>
    <row r="25" spans="1:4" x14ac:dyDescent="0.2">
      <c r="A25" t="s">
        <v>85</v>
      </c>
      <c r="B25" t="s">
        <v>131</v>
      </c>
      <c r="C25" t="s">
        <v>66</v>
      </c>
      <c r="D25" t="s">
        <v>20</v>
      </c>
    </row>
    <row r="26" spans="1:4" x14ac:dyDescent="0.2">
      <c r="A26" t="s">
        <v>87</v>
      </c>
      <c r="B26" t="s">
        <v>131</v>
      </c>
      <c r="C26" t="s">
        <v>88</v>
      </c>
      <c r="D26" t="s">
        <v>16</v>
      </c>
    </row>
    <row r="27" spans="1:4" x14ac:dyDescent="0.2">
      <c r="A27" t="s">
        <v>90</v>
      </c>
      <c r="B27" t="s">
        <v>91</v>
      </c>
      <c r="C27" t="s">
        <v>92</v>
      </c>
      <c r="D27" t="s">
        <v>71</v>
      </c>
    </row>
    <row r="28" spans="1:4" x14ac:dyDescent="0.2">
      <c r="A28" t="s">
        <v>94</v>
      </c>
      <c r="B28" t="s">
        <v>131</v>
      </c>
      <c r="C28" t="s">
        <v>42</v>
      </c>
      <c r="D28" t="s">
        <v>20</v>
      </c>
    </row>
    <row r="29" spans="1:4" x14ac:dyDescent="0.2">
      <c r="A29" t="s">
        <v>95</v>
      </c>
      <c r="B29" t="s">
        <v>131</v>
      </c>
      <c r="C29" t="s">
        <v>96</v>
      </c>
      <c r="D29" t="s">
        <v>20</v>
      </c>
    </row>
    <row r="30" spans="1:4" x14ac:dyDescent="0.2">
      <c r="A30" t="s">
        <v>98</v>
      </c>
      <c r="B30" t="s">
        <v>131</v>
      </c>
      <c r="C30" t="s">
        <v>54</v>
      </c>
      <c r="D30" t="s">
        <v>20</v>
      </c>
    </row>
    <row r="31" spans="1:4" x14ac:dyDescent="0.2">
      <c r="A31" t="s">
        <v>99</v>
      </c>
      <c r="B31" t="s">
        <v>131</v>
      </c>
      <c r="C31" t="s">
        <v>19</v>
      </c>
      <c r="D31" t="s">
        <v>20</v>
      </c>
    </row>
    <row r="32" spans="1:4" x14ac:dyDescent="0.2">
      <c r="A32" t="s">
        <v>100</v>
      </c>
      <c r="B32" t="s">
        <v>131</v>
      </c>
      <c r="C32" t="s">
        <v>101</v>
      </c>
      <c r="D32" t="s">
        <v>11</v>
      </c>
    </row>
    <row r="33" spans="1:4" x14ac:dyDescent="0.2">
      <c r="A33" t="s">
        <v>102</v>
      </c>
      <c r="B33" t="s">
        <v>131</v>
      </c>
      <c r="C33" t="s">
        <v>66</v>
      </c>
      <c r="D33" t="s">
        <v>20</v>
      </c>
    </row>
    <row r="34" spans="1:4" x14ac:dyDescent="0.2">
      <c r="A34" t="s">
        <v>103</v>
      </c>
      <c r="B34" t="s">
        <v>131</v>
      </c>
      <c r="C34" t="s">
        <v>104</v>
      </c>
      <c r="D34" t="s">
        <v>11</v>
      </c>
    </row>
    <row r="35" spans="1:4" x14ac:dyDescent="0.2">
      <c r="A35" t="s">
        <v>105</v>
      </c>
      <c r="B35" t="s">
        <v>131</v>
      </c>
      <c r="C35" t="s">
        <v>106</v>
      </c>
      <c r="D35" t="s">
        <v>16</v>
      </c>
    </row>
    <row r="36" spans="1:4" x14ac:dyDescent="0.2">
      <c r="A36" t="s">
        <v>107</v>
      </c>
      <c r="B36" t="s">
        <v>131</v>
      </c>
      <c r="C36" t="s">
        <v>108</v>
      </c>
      <c r="D36" t="s">
        <v>109</v>
      </c>
    </row>
    <row r="37" spans="1:4" x14ac:dyDescent="0.2">
      <c r="A37" t="s">
        <v>111</v>
      </c>
      <c r="B37" t="s">
        <v>131</v>
      </c>
      <c r="C37" t="s">
        <v>112</v>
      </c>
      <c r="D37" t="s">
        <v>20</v>
      </c>
    </row>
    <row r="38" spans="1:4" x14ac:dyDescent="0.2">
      <c r="A38" t="s">
        <v>113</v>
      </c>
      <c r="B38" t="s">
        <v>114</v>
      </c>
      <c r="C38" t="s">
        <v>101</v>
      </c>
      <c r="D38" t="s">
        <v>11</v>
      </c>
    </row>
    <row r="39" spans="1:4" x14ac:dyDescent="0.2">
      <c r="A39" t="s">
        <v>116</v>
      </c>
      <c r="B39" t="s">
        <v>131</v>
      </c>
      <c r="C39" t="s">
        <v>117</v>
      </c>
      <c r="D39" t="s">
        <v>20</v>
      </c>
    </row>
    <row r="40" spans="1:4" x14ac:dyDescent="0.2">
      <c r="A40" t="s">
        <v>118</v>
      </c>
      <c r="B40" t="s">
        <v>131</v>
      </c>
      <c r="C40" t="s">
        <v>119</v>
      </c>
      <c r="D40" t="s">
        <v>120</v>
      </c>
    </row>
    <row r="41" spans="1:4" x14ac:dyDescent="0.2">
      <c r="A41" t="s">
        <v>121</v>
      </c>
      <c r="B41" t="s">
        <v>131</v>
      </c>
      <c r="C41" t="s">
        <v>122</v>
      </c>
      <c r="D41" t="s">
        <v>16</v>
      </c>
    </row>
    <row r="42" spans="1:4" x14ac:dyDescent="0.2">
      <c r="A42" t="s">
        <v>123</v>
      </c>
      <c r="B42" t="s">
        <v>131</v>
      </c>
      <c r="C42" t="s">
        <v>124</v>
      </c>
      <c r="D42" t="s">
        <v>11</v>
      </c>
    </row>
    <row r="43" spans="1:4" x14ac:dyDescent="0.2">
      <c r="A43" t="s">
        <v>125</v>
      </c>
      <c r="B43" t="s">
        <v>131</v>
      </c>
      <c r="C43" t="s">
        <v>126</v>
      </c>
      <c r="D43" t="s">
        <v>127</v>
      </c>
    </row>
    <row r="44" spans="1:4" x14ac:dyDescent="0.2">
      <c r="A44" t="s">
        <v>128</v>
      </c>
      <c r="B44" t="s">
        <v>131</v>
      </c>
      <c r="C44" t="s">
        <v>25</v>
      </c>
      <c r="D44" t="s">
        <v>16</v>
      </c>
    </row>
    <row r="45" spans="1:4" x14ac:dyDescent="0.2">
      <c r="A45" t="s">
        <v>129</v>
      </c>
      <c r="B45" t="s">
        <v>131</v>
      </c>
      <c r="C45" t="s">
        <v>130</v>
      </c>
      <c r="D45" t="s">
        <v>127</v>
      </c>
    </row>
    <row r="46" spans="1:4" x14ac:dyDescent="0.2">
      <c r="A46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8D67-31CC-074F-94D0-949C94635E06}">
  <dimension ref="A1:I7"/>
  <sheetViews>
    <sheetView workbookViewId="0">
      <selection activeCell="F10" sqref="F10"/>
    </sheetView>
  </sheetViews>
  <sheetFormatPr baseColWidth="10" defaultRowHeight="16" x14ac:dyDescent="0.2"/>
  <cols>
    <col min="1" max="1" width="22.6640625" bestFit="1" customWidth="1"/>
    <col min="2" max="2" width="36.5" bestFit="1" customWidth="1"/>
    <col min="8" max="8" width="23.33203125" customWidth="1"/>
    <col min="9" max="9" width="19.6640625" customWidth="1"/>
  </cols>
  <sheetData>
    <row r="1" spans="1:9" x14ac:dyDescent="0.2">
      <c r="A1" t="s">
        <v>6</v>
      </c>
      <c r="B1" t="s">
        <v>7</v>
      </c>
      <c r="H1" t="str" cm="1">
        <f t="array" ref="H1:H7">_xlfn.UNIQUE(Performances!G:G,FALSE,FALSE)&amp;""</f>
        <v>OperaCompany</v>
      </c>
      <c r="I1" t="str">
        <f>_xlfn.XLOOKUP(H1,Performances!G:G,Performances!H:H,"",0,-1)&amp;""</f>
        <v>Venue</v>
      </c>
    </row>
    <row r="2" spans="1:9" x14ac:dyDescent="0.2">
      <c r="A2" t="s">
        <v>12</v>
      </c>
      <c r="B2" t="s">
        <v>13</v>
      </c>
      <c r="H2" t="str">
        <v>Opéra de Montréal</v>
      </c>
      <c r="I2" t="str">
        <f>_xlfn.XLOOKUP(H2,Performances!G:G,Performances!H:H,"",0,-1)&amp;""</f>
        <v>Place des Arts</v>
      </c>
    </row>
    <row r="3" spans="1:9" x14ac:dyDescent="0.2">
      <c r="A3" t="s">
        <v>21</v>
      </c>
      <c r="B3" t="s">
        <v>22</v>
      </c>
      <c r="H3" t="str">
        <v>Staatstheater Nürnberg</v>
      </c>
      <c r="I3" t="str">
        <f>_xlfn.XLOOKUP(H3,Performances!G:G,Performances!H:H,"",0,-1)&amp;""</f>
        <v>Opernhaus Nürnberg</v>
      </c>
    </row>
    <row r="4" spans="1:9" x14ac:dyDescent="0.2">
      <c r="A4" t="s">
        <v>26</v>
      </c>
      <c r="B4" t="s">
        <v>26</v>
      </c>
      <c r="H4" t="str">
        <v>Wiener Staatsoper</v>
      </c>
      <c r="I4" t="str">
        <f>_xlfn.XLOOKUP(H4,Performances!G:G,Performances!H:H,"",0,-1)&amp;""</f>
        <v>Wiener Staatsoper</v>
      </c>
    </row>
    <row r="5" spans="1:9" x14ac:dyDescent="0.2">
      <c r="A5" t="s">
        <v>30</v>
      </c>
      <c r="B5" t="s">
        <v>34</v>
      </c>
      <c r="H5" t="str">
        <v>Canadian Opera Company</v>
      </c>
      <c r="I5" t="str">
        <f>_xlfn.XLOOKUP(H5,Performances!G:G,Performances!H:H,"",0,-1)&amp;""</f>
        <v>Four Seasons Centre for the Performing Arts</v>
      </c>
    </row>
    <row r="6" spans="1:9" x14ac:dyDescent="0.2">
      <c r="A6" t="s">
        <v>47</v>
      </c>
      <c r="B6" t="s">
        <v>48</v>
      </c>
      <c r="H6" t="str">
        <v>Metropolitan Opera</v>
      </c>
      <c r="I6" t="str">
        <f>_xlfn.XLOOKUP(H6,Performances!G:G,Performances!H:H,"",0,-1)&amp;""</f>
        <v>Metropolitan Opera House</v>
      </c>
    </row>
    <row r="7" spans="1:9" x14ac:dyDescent="0.2">
      <c r="H7" t="str"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Performances</vt:lpstr>
      <vt:lpstr>Operas</vt:lpstr>
      <vt:lpstr>Companies</vt:lpstr>
      <vt:lpstr>Performances!operas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Andrews</dc:creator>
  <cp:lastModifiedBy>Jeremy Andrews</cp:lastModifiedBy>
  <dcterms:created xsi:type="dcterms:W3CDTF">2026-09-27T23:33:44Z</dcterms:created>
  <dcterms:modified xsi:type="dcterms:W3CDTF">2026-09-28T00:31:04Z</dcterms:modified>
</cp:coreProperties>
</file>